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otes e Configurações" state="visible" r:id="rId4"/>
    <sheet sheetId="2" name="Gerador de Orçamento" state="visible" r:id="rId5"/>
    <sheet sheetId="3" name="Orçamento Final" state="visible" r:id="rId6"/>
  </sheets>
  <calcPr calcId="171027"/>
</workbook>
</file>

<file path=xl/sharedStrings.xml><?xml version="1.0" encoding="utf-8"?>
<sst xmlns="http://schemas.openxmlformats.org/spreadsheetml/2006/main" count="101" uniqueCount="88">
  <si>
    <t>ID</t>
  </si>
  <si>
    <t>CATEGORIA</t>
  </si>
  <si>
    <t>NOME DO PACOTE</t>
  </si>
  <si>
    <t>PREÇO BASE</t>
  </si>
  <si>
    <t>COBERTURA</t>
  </si>
  <si>
    <t>EQUIPE</t>
  </si>
  <si>
    <t>ENTREGAS</t>
  </si>
  <si>
    <t>DADOS DA EMPRESA (CONFIGURAÇÃO)</t>
  </si>
  <si>
    <t>Nome da Empresa</t>
  </si>
  <si>
    <t>Mayclick Photography</t>
  </si>
  <si>
    <t>Telefone</t>
  </si>
  <si>
    <t>(11) 96303-1814</t>
  </si>
  <si>
    <t>CNPJ</t>
  </si>
  <si>
    <t>37.816.268/0001-06</t>
  </si>
  <si>
    <t>Site</t>
  </si>
  <si>
    <t>www.mayfotosefilmagens.com.br</t>
  </si>
  <si>
    <t>Instagram</t>
  </si>
  <si>
    <t>@mayclick_fotos</t>
  </si>
  <si>
    <t>Validade (Dias)</t>
  </si>
  <si>
    <t>Forma de Pagamento</t>
  </si>
  <si>
    <t>50% no ato e 50% no dia do evento. Até 12x no cartão (juros a consultar).</t>
  </si>
  <si>
    <t>Festa Infantil</t>
  </si>
  <si>
    <t>Infantil - Essencial</t>
  </si>
  <si>
    <t>4 horas</t>
  </si>
  <si>
    <t>1 Fotógrafo</t>
  </si>
  <si>
    <t>Fotos ilimitadas, editadas, entrega via link digital.</t>
  </si>
  <si>
    <t>Infantil - Premium</t>
  </si>
  <si>
    <t>Cobertura Completa</t>
  </si>
  <si>
    <t>Todas as fotos + Álbum 20x20</t>
  </si>
  <si>
    <t>Infantil - Deluxe</t>
  </si>
  <si>
    <t>1 Fotógrafo + Assistente</t>
  </si>
  <si>
    <t>Todas as fotos + Álbum 30x30 + Vídeo Teaser</t>
  </si>
  <si>
    <t>Debutantes</t>
  </si>
  <si>
    <t>Debutante - Bronze</t>
  </si>
  <si>
    <t>4 horas de festa</t>
  </si>
  <si>
    <t>150 fotos editadas via link digital</t>
  </si>
  <si>
    <t>Debutante - Prata</t>
  </si>
  <si>
    <t>Making of + Festa</t>
  </si>
  <si>
    <t>2 Fotógrafos</t>
  </si>
  <si>
    <t>300 fotos editadas + Álbum</t>
  </si>
  <si>
    <t>Debutante - Ouro</t>
  </si>
  <si>
    <t>Ensaio + Making of + Festa</t>
  </si>
  <si>
    <t>2 Fotógrafos + Assistente</t>
  </si>
  <si>
    <t>Álbum Premium + Vídeo Teaser</t>
  </si>
  <si>
    <t>Casamento</t>
  </si>
  <si>
    <t>Casamento - Cerimônia</t>
  </si>
  <si>
    <t>Apenas Cerimônia</t>
  </si>
  <si>
    <t>200 fotos editadas via link digital</t>
  </si>
  <si>
    <t>Casamento - Prata</t>
  </si>
  <si>
    <t>Cerimônia + Recepção</t>
  </si>
  <si>
    <t>Álbum Panorâmico + Digital</t>
  </si>
  <si>
    <t>Casamento - Ouro</t>
  </si>
  <si>
    <t>Making of + Cerimônia + Recepção</t>
  </si>
  <si>
    <t>Álbum Luxo + Drone + Pré-Wedding</t>
  </si>
  <si>
    <t>Casamento - Diamante</t>
  </si>
  <si>
    <t>Experiência Completa</t>
  </si>
  <si>
    <t>3 Fotógrafos</t>
  </si>
  <si>
    <t>Álbum Extra Grande + Vídeo Cinema</t>
  </si>
  <si>
    <t>MAYCLICK PHOTOGRAPHY - GERADOR</t>
  </si>
  <si>
    <t>ORÇAMENTO #</t>
  </si>
  <si>
    <t>01236</t>
  </si>
  <si>
    <t>NOME DO CLIENTE:</t>
  </si>
  <si>
    <t>DATA DO EVENTO:</t>
  </si>
  <si>
    <t>WHATSAPP:</t>
  </si>
  <si>
    <t>LOCAL:</t>
  </si>
  <si>
    <t>E-MAIL:</t>
  </si>
  <si>
    <t>TIPO DE EVENTO:</t>
  </si>
  <si>
    <t>SELECIONE O PACOTE:</t>
  </si>
  <si>
    <t>Horas Extras (Qtd):</t>
  </si>
  <si>
    <t>Valor da Hora:</t>
  </si>
  <si>
    <t>Deslocamento (R$):</t>
  </si>
  <si>
    <t>Extras (R$):</t>
  </si>
  <si>
    <t>Desconto (R$):</t>
  </si>
  <si>
    <t>RESUMO FINANCEIRO</t>
  </si>
  <si>
    <t>Subtotal Pacote:</t>
  </si>
  <si>
    <t>Total Extras/Ajustes:</t>
  </si>
  <si>
    <t>Desconto Aplicado:</t>
  </si>
  <si>
    <t>INVESTIMENTO FINAL:</t>
  </si>
  <si>
    <t>ORÇAMENTO FOTOGRÁFICO</t>
  </si>
  <si>
    <t>DADOS DA EMPRESA:</t>
  </si>
  <si>
    <t>PREPARADO PARA:</t>
  </si>
  <si>
    <t>A Mayclick Photography atua há 4 anos registrando eventos sociais com cuidado, sensibilidade e compromisso. Cada evento é tratado como uma memória única, e nosso objetivo é entregar uma experiência segura, organizada e especial para cada cliente.</t>
  </si>
  <si>
    <t>SERVIÇO</t>
  </si>
  <si>
    <t>DESCRIÇÃO</t>
  </si>
  <si>
    <t>VALOR TOTAL</t>
  </si>
  <si>
    <t>FORMA DE PAGAMENTO:</t>
  </si>
  <si>
    <t>TERMOS E CONDIÇÕES:</t>
  </si>
  <si>
    <t>Siga nosso Instagram: @mayclick_fotos | www.mayfotosefilmagens.com.br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</si>
</sst>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7" x14ac:knownFonts="1">
    <font>
      <color theme="1"/>
      <family val="2"/>
      <scheme val="minor"/>
      <sz val="11"/>
      <name val="Calibri"/>
    </font>
    <font>
      <b/>
      <color rgb="FFFFFFFF"/>
    </font>
    <font>
      <b/>
      <color rgb="FF8C845D"/>
      <sz val="12"/>
    </font>
    <font>
      <b/>
    </font>
    <font>
      <b/>
      <color rgb="FF8C845D"/>
      <sz val="14"/>
    </font>
    <font>
      <b/>
      <sz val="9"/>
    </font>
    <font>
      <b/>
      <color rgb="FF8C845D"/>
    </font>
    <font>
      <b/>
      <sz val="11"/>
    </font>
    <font>
      <b/>
      <color rgb="FFD4AF37"/>
      <sz val="12"/>
    </font>
    <font>
      <b/>
      <color rgb="FF8C845D"/>
      <sz val="22"/>
      <name val="Arial Black"/>
    </font>
    <font>
      <b/>
      <sz val="14"/>
    </font>
    <font>
      <b/>
      <color rgb="FF8C845D"/>
      <sz val="9"/>
    </font>
    <font>
      <sz val="8"/>
    </font>
    <font>
      <color rgb="FF333333"/>
      <sz val="9"/>
    </font>
    <font>
      <b/>
      <color rgb="FFFFFFFF"/>
      <sz val="10"/>
    </font>
    <font>
      <sz val="9"/>
    </font>
    <font>
      <i/>
      <color rgb="FF8C845D"/>
      <sz val="8"/>
    </font>
  </fonts>
  <fills count="4">
    <fill>
      <patternFill patternType="none"/>
    </fill>
    <fill>
      <patternFill patternType="gray125"/>
    </fill>
    <fill>
      <patternFill patternType="solid">
        <fgColor rgb="FF8C845D"/>
      </patternFill>
    </fill>
    <fill>
      <patternFill patternType="solid">
        <fgColor rgb="FFF2F1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1D1"/>
      </bottom>
      <diagonal/>
    </border>
    <border>
      <left/>
      <right/>
      <top/>
      <bottom style="medium">
        <color rgb="FF8C845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164" fontId="0" fillId="0" borderId="0" xfId="0" applyNumberFormat="1"/>
    <xf numFmtId="0" fontId="7" fillId="0" borderId="0" xfId="0" applyFont="1"/>
    <xf numFmtId="164" fontId="8" fillId="0" borderId="0" xfId="0" applyNumberFormat="1" applyFont="1"/>
    <xf numFmtId="0" fontId="9" fillId="3" borderId="2" xfId="0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4" fillId="2" borderId="0" xfId="0" applyFont="1" applyFill="1"/>
    <xf numFmtId="0" fontId="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right" vertical="center"/>
    </xf>
    <xf numFmtId="0" fontId="15" fillId="0" borderId="0" xfId="0" applyFont="1"/>
    <xf numFmtId="0" fontId="12" fillId="0" borderId="0" xfId="0" applyFont="1" applyAlignment="1">
      <alignment wrapText="1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" customWidth="1"/>
    <col min="2" max="2" width="15" customWidth="1"/>
    <col min="3" max="3" width="30" customWidth="1"/>
    <col min="4" max="4" width="15" customWidth="1"/>
    <col min="5" max="5" width="25" customWidth="1"/>
    <col min="6" max="6" width="20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9:9" x14ac:dyDescent="0.25">
      <c r="I2" s="2" t="s">
        <v>7</v>
      </c>
    </row>
    <row r="4" spans="9:10" x14ac:dyDescent="0.25">
      <c r="I4" s="3" t="s">
        <v>8</v>
      </c>
      <c r="J4" t="s">
        <v>9</v>
      </c>
    </row>
    <row r="5" spans="9:10" x14ac:dyDescent="0.25">
      <c r="I5" s="3" t="s">
        <v>10</v>
      </c>
      <c r="J5" t="s">
        <v>11</v>
      </c>
    </row>
    <row r="6" spans="9:10" x14ac:dyDescent="0.25">
      <c r="I6" s="3" t="s">
        <v>12</v>
      </c>
      <c r="J6" t="s">
        <v>13</v>
      </c>
    </row>
    <row r="7" spans="9:10" x14ac:dyDescent="0.25">
      <c r="I7" s="3" t="s">
        <v>14</v>
      </c>
      <c r="J7" t="s">
        <v>15</v>
      </c>
    </row>
    <row r="8" spans="9:10" x14ac:dyDescent="0.25">
      <c r="I8" s="3" t="s">
        <v>16</v>
      </c>
      <c r="J8" t="s">
        <v>17</v>
      </c>
    </row>
    <row r="9" spans="9:10" x14ac:dyDescent="0.25">
      <c r="I9" s="3" t="s">
        <v>18</v>
      </c>
      <c r="J9">
        <v>5</v>
      </c>
    </row>
    <row r="10" spans="9:10" x14ac:dyDescent="0.25">
      <c r="I10" s="3" t="s">
        <v>19</v>
      </c>
      <c r="J10" t="s">
        <v>20</v>
      </c>
    </row>
    <row r="11" spans="1:7" x14ac:dyDescent="0.25">
      <c r="A11">
        <v>1</v>
      </c>
      <c r="B11" t="s">
        <v>21</v>
      </c>
      <c r="C11" t="s">
        <v>22</v>
      </c>
      <c r="D11">
        <v>690</v>
      </c>
      <c r="E11" t="s">
        <v>23</v>
      </c>
      <c r="F11" t="s">
        <v>24</v>
      </c>
      <c r="G11" t="s">
        <v>25</v>
      </c>
    </row>
    <row r="12" spans="1:7" x14ac:dyDescent="0.25">
      <c r="A12">
        <v>2</v>
      </c>
      <c r="B12" t="s">
        <v>21</v>
      </c>
      <c r="C12" t="s">
        <v>26</v>
      </c>
      <c r="D12">
        <v>990</v>
      </c>
      <c r="E12" t="s">
        <v>27</v>
      </c>
      <c r="F12" t="s">
        <v>24</v>
      </c>
      <c r="G12" t="s">
        <v>28</v>
      </c>
    </row>
    <row r="13" spans="1:7" x14ac:dyDescent="0.25">
      <c r="A13">
        <v>3</v>
      </c>
      <c r="B13" t="s">
        <v>21</v>
      </c>
      <c r="C13" t="s">
        <v>29</v>
      </c>
      <c r="D13">
        <v>1600</v>
      </c>
      <c r="E13" t="s">
        <v>27</v>
      </c>
      <c r="F13" t="s">
        <v>30</v>
      </c>
      <c r="G13" t="s">
        <v>31</v>
      </c>
    </row>
    <row r="14" spans="1:7" x14ac:dyDescent="0.25">
      <c r="A14">
        <v>4</v>
      </c>
      <c r="B14" t="s">
        <v>32</v>
      </c>
      <c r="C14" t="s">
        <v>33</v>
      </c>
      <c r="D14">
        <v>1500</v>
      </c>
      <c r="E14" t="s">
        <v>34</v>
      </c>
      <c r="F14" t="s">
        <v>24</v>
      </c>
      <c r="G14" t="s">
        <v>35</v>
      </c>
    </row>
    <row r="15" spans="1:7" x14ac:dyDescent="0.25">
      <c r="A15">
        <v>5</v>
      </c>
      <c r="B15" t="s">
        <v>32</v>
      </c>
      <c r="C15" t="s">
        <v>36</v>
      </c>
      <c r="D15">
        <v>2500</v>
      </c>
      <c r="E15" t="s">
        <v>37</v>
      </c>
      <c r="F15" t="s">
        <v>38</v>
      </c>
      <c r="G15" t="s">
        <v>39</v>
      </c>
    </row>
    <row r="16" spans="1:7" x14ac:dyDescent="0.25">
      <c r="A16">
        <v>6</v>
      </c>
      <c r="B16" t="s">
        <v>32</v>
      </c>
      <c r="C16" t="s">
        <v>40</v>
      </c>
      <c r="D16">
        <v>3800</v>
      </c>
      <c r="E16" t="s">
        <v>41</v>
      </c>
      <c r="F16" t="s">
        <v>42</v>
      </c>
      <c r="G16" t="s">
        <v>43</v>
      </c>
    </row>
    <row r="17" spans="1:7" x14ac:dyDescent="0.25">
      <c r="A17">
        <v>7</v>
      </c>
      <c r="B17" t="s">
        <v>44</v>
      </c>
      <c r="C17" t="s">
        <v>45</v>
      </c>
      <c r="D17">
        <v>1900</v>
      </c>
      <c r="E17" t="s">
        <v>46</v>
      </c>
      <c r="F17" t="s">
        <v>38</v>
      </c>
      <c r="G17" t="s">
        <v>47</v>
      </c>
    </row>
    <row r="18" spans="1:7" x14ac:dyDescent="0.25">
      <c r="A18">
        <v>8</v>
      </c>
      <c r="B18" t="s">
        <v>44</v>
      </c>
      <c r="C18" t="s">
        <v>48</v>
      </c>
      <c r="D18">
        <v>3500</v>
      </c>
      <c r="E18" t="s">
        <v>49</v>
      </c>
      <c r="F18" t="s">
        <v>38</v>
      </c>
      <c r="G18" t="s">
        <v>50</v>
      </c>
    </row>
    <row r="19" spans="1:7" x14ac:dyDescent="0.25">
      <c r="A19">
        <v>9</v>
      </c>
      <c r="B19" t="s">
        <v>44</v>
      </c>
      <c r="C19" t="s">
        <v>51</v>
      </c>
      <c r="D19">
        <v>5800</v>
      </c>
      <c r="E19" t="s">
        <v>52</v>
      </c>
      <c r="F19" t="s">
        <v>42</v>
      </c>
      <c r="G19" t="s">
        <v>53</v>
      </c>
    </row>
    <row r="20" spans="1:7" x14ac:dyDescent="0.25">
      <c r="A20">
        <v>10</v>
      </c>
      <c r="B20" t="s">
        <v>44</v>
      </c>
      <c r="C20" t="s">
        <v>54</v>
      </c>
      <c r="D20">
        <v>8900</v>
      </c>
      <c r="E20" t="s">
        <v>55</v>
      </c>
      <c r="F20" t="s">
        <v>56</v>
      </c>
      <c r="G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FormatPr defaultRowHeight="15" outlineLevelRow="0" outlineLevelCol="0" x14ac:dyDescent="55"/>
  <sheetData>
    <row r="2" spans="2:7" x14ac:dyDescent="0.25">
      <c r="B2" s="4" t="s">
        <v>58</v>
      </c>
      <c r="F2" t="s">
        <v>59</v>
      </c>
      <c r="G2" s="3" t="s">
        <v>60</v>
      </c>
    </row>
    <row r="5" spans="2:6" x14ac:dyDescent="0.25">
      <c r="B5" s="5" t="s">
        <v>61</v>
      </c>
      <c r="C5" s="6"/>
      <c r="E5" s="5" t="s">
        <v>62</v>
      </c>
      <c r="F5" s="6"/>
    </row>
    <row r="6" spans="2:6" x14ac:dyDescent="0.25">
      <c r="B6" s="5" t="s">
        <v>63</v>
      </c>
      <c r="C6" s="6"/>
      <c r="E6" s="5" t="s">
        <v>64</v>
      </c>
      <c r="F6" s="6"/>
    </row>
    <row r="7" spans="2:6" x14ac:dyDescent="0.25">
      <c r="B7" s="5" t="s">
        <v>65</v>
      </c>
      <c r="C7" s="6"/>
      <c r="E7" s="5" t="s">
        <v>66</v>
      </c>
      <c r="F7" s="6"/>
    </row>
    <row r="9" spans="2:3" x14ac:dyDescent="0.25">
      <c r="B9" s="7" t="s">
        <v>67</v>
      </c>
    </row>
    <row r="11" spans="2:5" x14ac:dyDescent="0.25">
      <c r="B11" s="5" t="s">
        <v>68</v>
      </c>
      <c r="D11" s="5" t="s">
        <v>69</v>
      </c>
    </row>
    <row r="12" spans="2:5" x14ac:dyDescent="0.25">
      <c r="B12" s="5" t="s">
        <v>70</v>
      </c>
      <c r="D12" s="5" t="s">
        <v>71</v>
      </c>
    </row>
    <row r="13" spans="2:3" x14ac:dyDescent="0.25">
      <c r="B13" s="5" t="s">
        <v>72</v>
      </c>
    </row>
    <row r="15" spans="2:2" x14ac:dyDescent="0.25">
      <c r="B15" s="7" t="s">
        <v>73</v>
      </c>
    </row>
    <row r="16" spans="2:3" x14ac:dyDescent="0.25">
      <c r="B16" t="s">
        <v>74</v>
      </c>
      <c r="C16" s="8">
        <f>VLOOKUP(C9, 'Pacotes e Configurações'!$C$2:$D$11, 2, FALSE)</f>
      </c>
    </row>
    <row r="17" spans="2:3" x14ac:dyDescent="0.25">
      <c r="B17" t="s">
        <v>75</v>
      </c>
      <c r="C17" s="8">
        <f>(C11*E11) + C12 + E12</f>
      </c>
    </row>
    <row r="18" spans="2:3" x14ac:dyDescent="0.25">
      <c r="B18" t="s">
        <v>76</v>
      </c>
      <c r="C18" s="8">
        <f>C13</f>
      </c>
    </row>
    <row r="19" spans="2:3" x14ac:dyDescent="0.25">
      <c r="B19" s="9" t="s">
        <v>77</v>
      </c>
      <c r="C19" s="10">
        <f>C16 + C17 - C18</f>
      </c>
    </row>
  </sheetData>
  <dataValidations count="1">
    <dataValidation type="list" allowBlank="1" sqref="C9">
      <formula1>'Pacotes e Configurações'!$C$2:$C$11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FormatPr defaultRowHeight="22" outlineLevelRow="0" outlineLevelCol="0" x14ac:dyDescent="55" customHeight="1"/>
  <sheetData>
    <row r="1" spans="1:7" x14ac:dyDescent="0.25">
      <c r="A1" s="11" t="s">
        <v>78</v>
      </c>
      <c r="B1" s="11"/>
      <c r="C1" s="11"/>
      <c r="D1" s="11"/>
      <c r="E1" s="11"/>
      <c r="F1" s="11"/>
      <c r="G1" s="11"/>
    </row>
    <row r="2" spans="1:7" x14ac:dyDescent="0.25">
      <c r="A2" s="11"/>
      <c r="B2" s="11"/>
      <c r="C2" s="11"/>
      <c r="D2" s="11"/>
      <c r="E2" s="11"/>
      <c r="F2" s="11"/>
      <c r="G2" s="11"/>
    </row>
    <row r="4" spans="1:5" x14ac:dyDescent="0.25">
      <c r="A4" s="12">
        <f>CONCATENATE("ORÇAMENTO #", 'Gerador de Orçamento'!G2)</f>
      </c>
      <c r="E4" s="13">
        <f>'Pacotes e Configurações'!J4</f>
      </c>
    </row>
    <row r="6" spans="1:5" x14ac:dyDescent="0.25">
      <c r="A6" s="14" t="s">
        <v>79</v>
      </c>
      <c r="E6" s="15" t="s">
        <v>80</v>
      </c>
    </row>
    <row r="7" spans="1:5" x14ac:dyDescent="0.25">
      <c r="A7" s="16">
        <f>CONCATENATE("WhatsApp: ", 'Pacotes e Configurações'!J5, " | CNPJ: ", 'Pacotes e Configurações'!J6)</f>
      </c>
      <c r="E7" s="17">
        <f>'Gerador de Orçamento'!C5</f>
      </c>
    </row>
    <row r="8" spans="1:5" x14ac:dyDescent="0.25">
      <c r="A8" s="16">
        <f>'Pacotes e Configurações'!J7</f>
      </c>
      <c r="E8" s="17">
        <f>CONCATENATE('Gerador de Orçamento'!F7, " em ", TEXT('Gerador de Orçamento'!F5, "dd/mm/yyyy"))</f>
      </c>
    </row>
    <row r="10" spans="1:7" x14ac:dyDescent="0.25">
      <c r="A10" s="18" t="s">
        <v>81</v>
      </c>
      <c r="B10" s="18"/>
      <c r="C10" s="18"/>
      <c r="D10" s="18"/>
      <c r="E10" s="18"/>
      <c r="F10" s="18"/>
      <c r="G10" s="18"/>
    </row>
    <row r="11" spans="1:7" x14ac:dyDescent="0.25">
      <c r="A11" s="18"/>
      <c r="B11" s="18"/>
      <c r="C11" s="18"/>
      <c r="D11" s="18"/>
      <c r="E11" s="18"/>
      <c r="F11" s="18"/>
      <c r="G11" s="18"/>
    </row>
    <row r="12" spans="1:7" x14ac:dyDescent="0.25">
      <c r="A12" s="18"/>
      <c r="B12" s="18"/>
      <c r="C12" s="18"/>
      <c r="D12" s="18"/>
      <c r="E12" s="18"/>
      <c r="F12" s="18"/>
      <c r="G12" s="18"/>
    </row>
    <row r="14" spans="1:7" x14ac:dyDescent="0.25">
      <c r="A14" s="19" t="s">
        <v>82</v>
      </c>
      <c r="B14" s="19"/>
      <c r="C14" s="19" t="s">
        <v>83</v>
      </c>
      <c r="D14" s="19"/>
      <c r="E14" s="19"/>
      <c r="F14" s="19"/>
      <c r="G14" s="19" t="s">
        <v>84</v>
      </c>
    </row>
    <row r="15" spans="1:7" x14ac:dyDescent="0.25">
      <c r="A15" s="20">
        <f>'Gerador de Orçamento'!C9</f>
      </c>
      <c r="B15" s="20"/>
      <c r="C15" s="21">
        <f>VLOOKUP('Gerador de Orçamento'!C9, 'Pacotes e Configurações'!$C$2:$G$11, 5, FALSE)</f>
      </c>
      <c r="D15" s="21"/>
      <c r="E15" s="21"/>
      <c r="F15" s="21"/>
      <c r="G15" s="22">
        <f>'Gerador de Orçamento'!C19</f>
      </c>
    </row>
    <row r="16" spans="1:7" x14ac:dyDescent="0.25">
      <c r="A16" s="20"/>
      <c r="B16" s="20"/>
      <c r="C16" s="21"/>
      <c r="D16" s="21"/>
      <c r="E16" s="21"/>
      <c r="F16" s="21"/>
      <c r="G16" s="22"/>
    </row>
    <row r="17" spans="1:7" x14ac:dyDescent="0.25">
      <c r="A17" s="20"/>
      <c r="B17" s="20"/>
      <c r="C17" s="21"/>
      <c r="D17" s="21"/>
      <c r="E17" s="21"/>
      <c r="F17" s="21"/>
      <c r="G17" s="22"/>
    </row>
    <row r="19" spans="1:1" x14ac:dyDescent="0.25">
      <c r="A19" s="14" t="s">
        <v>85</v>
      </c>
    </row>
    <row r="20" spans="1:7" x14ac:dyDescent="0.25">
      <c r="A20" s="23">
        <f>'Pacotes e Configurações'!J10</f>
      </c>
      <c r="B20" s="23"/>
      <c r="C20" s="23"/>
      <c r="D20" s="23"/>
      <c r="E20" s="23"/>
      <c r="F20" s="23"/>
      <c r="G20" s="23"/>
    </row>
    <row r="22" spans="1:1" x14ac:dyDescent="0.25">
      <c r="A22" s="14" t="s">
        <v>86</v>
      </c>
    </row>
    <row r="23" spans="1:7" x14ac:dyDescent="0.25">
      <c r="A23" s="24">
        <f>CONCATENATE("Este orçamento é válido por ", 'Pacotes e Configurações'!J9, " dias. Após a aprovação, o contrato é enviado para assinatura digital garantindo segurança e autenticidade via ZapSign.")</f>
      </c>
      <c r="B23" s="24"/>
      <c r="C23" s="24"/>
      <c r="D23" s="24"/>
      <c r="E23" s="24"/>
      <c r="F23" s="24"/>
      <c r="G23" s="24"/>
    </row>
    <row r="24" spans="1:7" x14ac:dyDescent="0.25">
      <c r="A24" s="24"/>
      <c r="B24" s="24"/>
      <c r="C24" s="24"/>
      <c r="D24" s="24"/>
      <c r="E24" s="24"/>
      <c r="F24" s="24"/>
      <c r="G24" s="24"/>
    </row>
    <row r="26" spans="1:7" x14ac:dyDescent="0.25">
      <c r="A26" s="25" t="s">
        <v>87</v>
      </c>
      <c r="B26" s="25"/>
      <c r="C26" s="25"/>
      <c r="D26" s="25"/>
      <c r="E26" s="25"/>
      <c r="F26" s="25"/>
      <c r="G26" s="25"/>
    </row>
  </sheetData>
  <mergeCells count="10">
    <mergeCell ref="A1:G2"/>
    <mergeCell ref="A10:G12"/>
    <mergeCell ref="A14:B14"/>
    <mergeCell ref="C14:F14"/>
    <mergeCell ref="A15:B17"/>
    <mergeCell ref="C15:F17"/>
    <mergeCell ref="G15:G17"/>
    <mergeCell ref="A20:G20"/>
    <mergeCell ref="A23:G24"/>
    <mergeCell ref="A26:G26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Pacotes e Configurações</vt:lpstr>
      <vt:lpstr>Gerador de Orçamento</vt:lpstr>
      <vt:lpstr>Orçamento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2026-04-28T12:09:32Z</dcterms:created>
  <dcterms:modified xsi:type="dcterms:W3CDTF">2026-04-28T12:09:32Z</dcterms:modified>
</cp:coreProperties>
</file>